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midisgroup1-my.sharepoint.com/personal/z_mama_mindware_net/Documents/"/>
    </mc:Choice>
  </mc:AlternateContent>
  <xr:revisionPtr revIDLastSave="0" documentId="8_{D5FFE0F7-B973-473E-9780-14F537295094}" xr6:coauthVersionLast="47" xr6:coauthVersionMax="47" xr10:uidLastSave="{00000000-0000-0000-0000-000000000000}"/>
  <bookViews>
    <workbookView xWindow="-110" yWindow="-110" windowWidth="25820" windowHeight="15500" xr2:uid="{056941A2-320D-4717-A4DF-5DA5B35C6A2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I25" i="1" l="1"/>
  <c r="I24" i="1"/>
  <c r="I23" i="1"/>
  <c r="I22" i="1"/>
  <c r="I21" i="1"/>
  <c r="I20" i="1"/>
  <c r="I19" i="1"/>
  <c r="I18" i="1"/>
  <c r="I17" i="1"/>
  <c r="I16" i="1"/>
  <c r="I15" i="1"/>
  <c r="I14" i="1"/>
  <c r="I13" i="1"/>
  <c r="I11" i="1"/>
  <c r="I8" i="1"/>
  <c r="I7" i="1"/>
  <c r="I3" i="1"/>
</calcChain>
</file>

<file path=xl/sharedStrings.xml><?xml version="1.0" encoding="utf-8"?>
<sst xmlns="http://schemas.openxmlformats.org/spreadsheetml/2006/main" count="125" uniqueCount="83">
  <si>
    <t>Tool</t>
  </si>
  <si>
    <t>Owner Team</t>
  </si>
  <si>
    <t>summary</t>
  </si>
  <si>
    <t>description</t>
  </si>
  <si>
    <t>Status</t>
  </si>
  <si>
    <t>GO-LIVE Date</t>
  </si>
  <si>
    <t>Manual Time (min/run)</t>
  </si>
  <si>
    <t>Automated Time (min/run)</t>
  </si>
  <si>
    <t>Time Saved per Run (min)</t>
  </si>
  <si>
    <t>Runs per Month</t>
  </si>
  <si>
    <t>Lenovo quote</t>
  </si>
  <si>
    <t>Sales</t>
  </si>
  <si>
    <t>Generates a Lenovo quotation with margin applied.</t>
  </si>
  <si>
    <t>Live</t>
  </si>
  <si>
    <t>IBM Credit Note Automation (KSA)</t>
  </si>
  <si>
    <t>Finance</t>
  </si>
  <si>
    <t>Converts IBM KSA credit notes into a CNTS upload file.</t>
  </si>
  <si>
    <t>Reads IBM credit note PDFs and generates the CNTS-UPLOAD Excel with header and item sheets for the ERP credit note upload.</t>
  </si>
  <si>
    <t>CI and Packing list - IBM</t>
  </si>
  <si>
    <t>Operations</t>
  </si>
  <si>
    <t>Builds IBM commercial invoice and packing list documents.</t>
  </si>
  <si>
    <t>Takes pairs of SOB PDFs and IBM PO / Commercial Invoice PDFs per shipment and generates the commercial invoice and packing list workbook for the shipment documentation.</t>
  </si>
  <si>
    <t>Dell Quotation Southcomp Polaris</t>
  </si>
  <si>
    <t>Generates Southcomp Polaris quotations from Dell BOQs.</t>
  </si>
  <si>
    <t>Processes one or more Dell BOQ files (Excel, PDF, or Word) and generates the Southcomp Polaris quotation file for each, downloadable individually or together.</t>
  </si>
  <si>
    <t>MIBB Quotations</t>
  </si>
  <si>
    <t>Generates MIBB quotations (Software, Hardware, TLS).</t>
  </si>
  <si>
    <t>This tool is  for MIBB quotation PDFs: extract header and line table (part number, description, dates, qty, price), optionally apply a description master, and produce a styled quotation Excel with MIBB terms.</t>
  </si>
  <si>
    <t>Freight Forwarder JV Tool</t>
  </si>
  <si>
    <t>Converting multiple pdfs to DNS entry.</t>
  </si>
  <si>
    <t>ms invoice tool</t>
  </si>
  <si>
    <t xml:space="preserve">convert the invoice report from IW platform into DN and srcl file </t>
  </si>
  <si>
    <t>AR Backlog</t>
  </si>
  <si>
    <t>Credit</t>
  </si>
  <si>
    <t>This tool supports the preparation of AR backlog, collection forecast, and provision forecast by transforming AR data into a standardized output for management reporting.</t>
  </si>
  <si>
    <t>It is used  for GCC, QNAL, and KSA AR balances, in alignment with Traverse and Orion reporting. The tool automatically organizes balances into aging buckets, identifies the relevant forecast quarter, and generates quarterly calculations for collections, expected AR, provision impact, and AR provision forecast. This delivers a more consistent, efficient, and reliable view of AR exposure and expected recovery across the business.</t>
  </si>
  <si>
    <t>test</t>
  </si>
  <si>
    <t>Dell Quotation automatiom</t>
  </si>
  <si>
    <t>Converts a Dell BOQ Excel/PDF into a formatted quotation Excel (Quote + BOQ), auto-reading quote reference/date and applying margin + currency conversion.</t>
  </si>
  <si>
    <t>Converts a Dell BOQ Excel or PDF into a formatted quotation workbook in one click, with margin and currency handling.</t>
  </si>
  <si>
    <t>Dell Quotation (Orion)</t>
  </si>
  <si>
    <t>Converts a Dell BOQ into the Orion export format.</t>
  </si>
  <si>
    <t>Reads a Dell quotation Excel or PDF and generates the Orion export file in the selected currency, ready for ERP upload.</t>
  </si>
  <si>
    <t>Lenovo CNTS Tool - KSA</t>
  </si>
  <si>
    <t>Converts Lenovo credit note PDFs into the correct CNTS-format Excel file for KSA processing.</t>
  </si>
  <si>
    <t>For KSA transactions, Finance users upload Lenovo credit note PDFs into Mindbot and select the KSA flow. The tool extracts the required details from each document and produces an Excel file mapped to the CNTS format, ready for Orion upload. This removes repetitive manual mapping, ensures consistent CNTS structure, and speeds up credit-note processing with better accuracy.</t>
  </si>
  <si>
    <t>Lenovo Credit Note Tool - UAE</t>
  </si>
  <si>
    <t>Converts  50+ Lenovo credit note PDFs at the same time into a single Excel file formatted for CNS entry.</t>
  </si>
  <si>
    <t>Finance users upload multiple Lenovo credit note PDF files into the Mindbot tool. Instead of manually extracting values and preparing the CNS format line by line, the tool reads all uploaded files, captures the required credit-note fields, and generates one ready-to-use Excel output structured for CNS posting. This reduces manual effort, improves consistency, and lowers posting errors.</t>
  </si>
  <si>
    <t>Oracle invoices</t>
  </si>
  <si>
    <t>finance</t>
  </si>
  <si>
    <t>The Oracle Invoice Tool is an automated extraction engine designed to read Oracle invoice PDFs and instantly extract all required financial fields with high accuracy.</t>
  </si>
  <si>
    <t>Oracle often includes different bank account details on different invoices. If a payment is made to the wrong account, Oracle may not allocate the payment, which can lead to escalations..This tool eliminates these problems by making sure the correct IBAN and SWIFT Code are extracted automatically from each invoice, avoiding manual mistakes and ensuring payments go to the right account.</t>
  </si>
  <si>
    <t>Google DNTS Extractor</t>
  </si>
  <si>
    <t>Turns Google Cloud invoice PDFs into the exact Excel format required for our finance system (DNTS/Orion) in one step.</t>
  </si>
  <si>
    <t>Google sends invoices as PDFs with a 'Summary of costs by domain' table. Previously, staff retyped domain names, customer IDs, and amounts into Excel and then adjusted layout and codes for the finance system. This tool reads the PDF, pulls invoice number and date, extracts every cost line, and produces a ready-to-upload Excel in the correct format. This cuts manual data entry, speeds up posting, and reduces errors that could affect reconciliation and reporting.</t>
  </si>
  <si>
    <t>Google Invoice Extractor</t>
  </si>
  <si>
    <t>Quickly pulls domain-level costs from Google invoice PDFs into a simple Excel for analysis or checks.</t>
  </si>
  <si>
    <t>When the full DNTS format is not needed, for example for a quick check or a report.. staff still need the cost breakdown (domain, customer ID, amount) from the PDF. This tool does that in one go: upload the Google invoice PDF and get an Excel with Domain name, Customer ID, and Amount. It saves time on ad-hoc extractions and avoids copy-paste mistakes.</t>
  </si>
  <si>
    <t>Claims Automation</t>
  </si>
  <si>
    <t>Combines four different claims-related files (SAP export, user list, benefits, account mapping) into one ready-to-use claims file.</t>
  </si>
  <si>
    <t>Claims processing used to depend on four separate files: SAP journal data, employee master, benefit details, and account mapping. Staff had to merge them, match employees to accounts, and build narrations by hand. This tool takes all four as input and produces a single, consistent claims file with the right account codes and narrations. It reduces reconciliation errors, speeds up month-end</t>
  </si>
  <si>
    <t>AWS Invoice Tool</t>
  </si>
  <si>
    <t>Reads AWS invoice and credit-note PDFs and produces both a summary Excel and the correct files for our finance system (DNTS/CNTS) by entity.</t>
  </si>
  <si>
    <t>AWS sends different PDF layouts (tax invoice, credit note, direct vs marketplace). Staff used to re-enter amounts, VAT, and billing details and then build DNTS/CNTS files per entity (e.g. Mindware UAE vs FZ). The tool detects the PDF type, extracts amounts and dates, calculates VAT where needed, and generates both a summary Excel and the right DNTS or CNTS files in one ZIP. This reduces re-keying, ensures correct entity and VAT treatment, and speeds up AWS invoice posting.</t>
  </si>
  <si>
    <t>Dell Invoice Extractor (Pre-Alert Upload)</t>
  </si>
  <si>
    <t>Turns Dell invoice PDFs into the pre-alert upload sheet and highlights lines that need review or master-data updates.</t>
  </si>
  <si>
    <t>Pre-alert requires data from Dell PDFs (PO, invoice number, dates, line items, shipping, consolidation) to be entered into our template and matched to internal item codes and prices. Doing this by hand is slow and error-prone. The tool reads one or more Dell PDFs (and an optional master file), fills the pre-alert sheet, matches items where possible, and adds a review sheet that flags 'no match,' 'price match,' or 'ok' so staff can focus on exceptions. This shortens pre-alert turnaround and improves accuracy of item and price matching.</t>
  </si>
  <si>
    <t>Cloud Invoice Tool</t>
  </si>
  <si>
    <t>Converts the cloud billing export (after CB Convert) into standard cloud invoice Excel, negative-invoice file, and SRCL file with correct codes and versioning.</t>
  </si>
  <si>
    <t>Cloud billing data comes from a CB export that must be converted and then mapped to our locations, tax codes, item codes (e.g. M365, Azure), LPO, and end user. Staff used to do this in Excel with a lot of manual lookup and versioning. The tool takes the converted file, applies location and tax rules, derives item codes from descriptions, extracts LPO and end user, and produces the main cloud invoice workbook (with versioning), the negative-invoices file, and the SRCL file. It keeps coding consistent and reduces manual parsing and versioning errors.</t>
  </si>
  <si>
    <t>Barcode PDF Generator</t>
  </si>
  <si>
    <t>Generates pallet barcode labels from a simple list of Pallet ID and IMEI so warehouse can print and apply labels without manual barcode creation.</t>
  </si>
  <si>
    <t>Shipping and warehouse need barcode labels per pallet, with each label encoding a set of IMEIs. Creating these manually is tedious and error-prone. Staff upload a CSV with Pallet ID and IMEI; the tool checks that IMEIs are valid and grouped correctly, then produces a PDF of barcode pages (one page per group) with the pallet ID shown. This speeds up labeling and reduces wrong or missing barcodes.</t>
  </si>
  <si>
    <t>AR to EDD File</t>
  </si>
  <si>
    <t>Filters the insurance/AR export to the right ageing window and adds the columns needed for EDD and reconciliation in one go.</t>
  </si>
  <si>
    <t>Credit needs to work from the insurance file with only relevant rows (e.g. positive limit, balance, and ageing between 200–270 days) and standard columns for EDD (status, reason, paid amount, payment date, over-due days). Doing this manually with filters and new columns is repetitive and easy to get wrong. The tool reads the export (from row 16), applies the business rules and ageing range, and outputs a clean Excel ready for EDD and reconciliation. This keeps the process consistent and saves time each cycle.</t>
  </si>
  <si>
    <t>Coface CSV Uploader</t>
  </si>
  <si>
    <t>Splits one customer-invoice export into separate, correctly formatted CSV files per customer for Coface submission.</t>
  </si>
  <si>
    <t>Coface  often requires one file per customer in a specific format..nanually splitting and formatting from one big export is slow and risks wrong formatting or wrong customer split. The tool checks status rules (e.g. UNPAID must have zero paid amount and blank payment date), then groups by customer code and outputs one CSV per customer in the required format, zipped. This ensures consistent format and reduces manual splitting and copy-paste errors.</t>
  </si>
  <si>
    <t>IBM Quotation</t>
  </si>
  <si>
    <t>Takes an IBM quotation PDF (and optional Excel), detects the quotation type, and produces a single styled quotation Excel in the right currency for UAE, Qatar, or KSA.</t>
  </si>
  <si>
    <t>IBM sends quotation PDFs in different formats (parts with coverage dates vs subscription/SaaS). Sales used to copy data between PDF and Excel, set currency (AED/SAR/USD) by country, and keep terms and layout consistent. The tool lets the user choose country (UAE, Qatar, KSA), uploads the PDF and optionally the Excel, and automatically detects whether it is a 'parts' or 'subscription' quotation. It then builds one styled quotation Excel (with logo and terms), checks total price vs PDF where relevant, and aligns dates between PDF and Excel. This reduces manual rework, keeps pricing and compliance text consistent across countries, and speeds up quotation turnaround.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</si>
</sst>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b/>
      <sz val="11"/>
      <color rgb="FFFFFFFF"/>
      <name val="Calibri"/>
      <family val="2"/>
    </font>
    <font>
      <sz val="12"/>
      <name val="Calibri"/>
      <family val="2"/>
    </font>
    <font>
      <sz val="12"/>
      <name val="Aptos Narrow"/>
      <family val="2"/>
      <scheme val="minor"/>
    </font>
    <font>
      <sz val="12"/>
      <name val="Aptos"/>
      <family val="2"/>
    </font>
    <font>
      <sz val="11"/>
      <color theme="1"/>
      <name val="Segoe UI"/>
      <family val="2"/>
    </font>
    <font>
      <sz val="11"/>
      <name val="Calibri"/>
      <family val="2"/>
    </font>
    <font>
      <b/>
      <sz val="11"/>
      <name val="Calibri"/>
      <family val="2"/>
    </font>
    <font>
      <b/>
      <sz val="11"/>
      <color rgb="FF1F2937"/>
      <name val="Calibri"/>
      <family val="2"/>
    </font>
  </fonts>
  <fills count="9">
    <fill>
      <patternFill patternType="none"/>
    </fill>
    <fill>
      <patternFill patternType="gray125"/>
    </fill>
    <fill>
      <patternFill patternType="solid">
        <fgColor rgb="FFF2F2F2"/>
      </patternFill>
    </fill>
    <fill>
      <patternFill patternType="solid">
        <fgColor rgb="FF1F7A8C"/>
      </patternFill>
    </fill>
    <fill>
      <patternFill patternType="solid">
        <fgColor rgb="FFFFF4D6"/>
      </patternFill>
    </fill>
    <fill>
      <patternFill patternType="solid">
        <fgColor theme="2"/>
        <bgColor indexed="64"/>
      </patternFill>
    </fill>
    <fill>
      <patternFill patternType="solid">
        <fgColor rgb="FFE8F3E8"/>
      </patternFill>
    </fill>
    <fill>
      <patternFill patternType="solid">
        <fgColor theme="2"/>
        <bgColor rgb="FF1A73E8"/>
      </patternFill>
    </fill>
    <fill>
      <patternFill patternType="solid">
        <fgColor rgb="FFF7FAFC"/>
      </patternFill>
    </fill>
  </fills>
  <borders count="9">
    <border>
      <left/>
      <right/>
      <top/>
      <bottom/>
      <diagonal/>
    </border>
    <border>
      <left style="thin">
        <color rgb="FFD1D5DB"/>
      </left>
      <right style="thin">
        <color rgb="FFD1D5DB"/>
      </right>
      <top style="thin">
        <color rgb="FFD1D5DB"/>
      </top>
      <bottom style="thin">
        <color rgb="FFD1D5DB"/>
      </bottom>
      <diagonal/>
    </border>
    <border>
      <left style="thin">
        <color rgb="FFD1D5DB"/>
      </left>
      <right style="thin">
        <color rgb="FFD1D5DB"/>
      </right>
      <top style="thin">
        <color rgb="FFD1D5DB"/>
      </top>
      <bottom/>
      <diagonal/>
    </border>
    <border>
      <left style="thin">
        <color rgb="FFBFBFBF"/>
      </left>
      <right style="thin">
        <color rgb="FFBFBFBF"/>
      </right>
      <top style="thin">
        <color rgb="FFBFBFBF"/>
      </top>
      <bottom style="thin">
        <color rgb="FFBFBFBF"/>
      </bottom>
      <diagonal/>
    </border>
    <border>
      <left style="thin">
        <color rgb="FFD1D5DB"/>
      </left>
      <right style="thin">
        <color rgb="FFD1D5DB"/>
      </right>
      <top/>
      <bottom style="thin">
        <color rgb="FFD1D5DB"/>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rgb="FFE6E6E6"/>
      </left>
      <right style="medium">
        <color rgb="FFE6E6E6"/>
      </right>
      <top/>
      <bottom style="medium">
        <color rgb="FFE6E6E6"/>
      </bottom>
      <diagonal/>
    </border>
    <border>
      <left style="medium">
        <color rgb="FFE6E6E6"/>
      </left>
      <right style="medium">
        <color rgb="FFE6E6E6"/>
      </right>
      <top style="medium">
        <color rgb="FFE6E6E6"/>
      </top>
      <bottom style="medium">
        <color rgb="FFE6E6E6"/>
      </bottom>
      <diagonal/>
    </border>
  </borders>
  <cellStyleXfs count="1">
    <xf numFmtId="0" fontId="0" fillId="0" borderId="0"/>
  </cellStyleXfs>
  <cellXfs count="31">
    <xf numFmtId="0" fontId="0" fillId="0" borderId="0" xfId="0"/>
    <xf numFmtId="0" fontId="1" fillId="3" borderId="2" xfId="0" applyFont="1" applyFill="1" applyBorder="1" applyAlignment="1">
      <alignment horizontal="center" vertical="center" wrapText="1"/>
    </xf>
    <xf numFmtId="0" fontId="1" fillId="3" borderId="0" xfId="0" applyFont="1" applyFill="1" applyAlignment="1">
      <alignment horizontal="center" vertical="center" wrapText="1"/>
    </xf>
    <xf numFmtId="0" fontId="0" fillId="0" borderId="3" xfId="0" applyBorder="1" applyAlignment="1">
      <alignment vertical="top" wrapText="1"/>
    </xf>
    <xf numFmtId="0" fontId="0" fillId="0" borderId="1" xfId="0" applyBorder="1" applyAlignment="1">
      <alignment vertical="top" wrapText="1"/>
    </xf>
    <xf numFmtId="0" fontId="0" fillId="4" borderId="4" xfId="0" applyFill="1" applyBorder="1" applyAlignment="1">
      <alignment horizontal="left" vertical="top" wrapText="1"/>
    </xf>
    <xf numFmtId="14" fontId="0" fillId="0" borderId="0" xfId="0" applyNumberFormat="1"/>
    <xf numFmtId="0" fontId="0" fillId="2" borderId="3" xfId="0" applyFill="1" applyBorder="1" applyAlignment="1">
      <alignment vertical="top" wrapText="1"/>
    </xf>
    <xf numFmtId="0" fontId="0" fillId="0" borderId="5" xfId="0" applyBorder="1" applyAlignment="1">
      <alignment vertical="top" wrapText="1"/>
    </xf>
    <xf numFmtId="0" fontId="2" fillId="5" borderId="6" xfId="0" applyFont="1" applyFill="1" applyBorder="1" applyAlignment="1">
      <alignment horizontal="left" vertical="top" wrapText="1"/>
    </xf>
    <xf numFmtId="0" fontId="3" fillId="0" borderId="6" xfId="0" applyFont="1" applyBorder="1" applyAlignment="1">
      <alignment vertical="top" wrapText="1"/>
    </xf>
    <xf numFmtId="0" fontId="4" fillId="0" borderId="6" xfId="0" applyFont="1" applyBorder="1"/>
    <xf numFmtId="0" fontId="0" fillId="6" borderId="4" xfId="0" applyFill="1" applyBorder="1" applyAlignment="1">
      <alignment vertical="top" wrapText="1"/>
    </xf>
    <xf numFmtId="14" fontId="5" fillId="0" borderId="7" xfId="0" applyNumberFormat="1" applyFont="1" applyBorder="1" applyAlignment="1">
      <alignment vertical="center" wrapText="1"/>
    </xf>
    <xf numFmtId="0" fontId="6" fillId="5" borderId="0" xfId="0" applyFont="1" applyFill="1" applyAlignment="1">
      <alignment horizontal="left" vertical="top" wrapText="1"/>
    </xf>
    <xf numFmtId="0" fontId="0" fillId="0" borderId="4" xfId="0" applyBorder="1" applyAlignment="1">
      <alignment horizontal="left" vertical="top" wrapText="1"/>
    </xf>
    <xf numFmtId="0" fontId="6" fillId="7" borderId="6" xfId="0" applyFont="1" applyFill="1" applyBorder="1" applyAlignment="1">
      <alignment vertical="top" wrapText="1"/>
    </xf>
    <xf numFmtId="14" fontId="5" fillId="0" borderId="8" xfId="0" applyNumberFormat="1" applyFont="1" applyBorder="1" applyAlignment="1">
      <alignment vertical="center" wrapText="1"/>
    </xf>
    <xf numFmtId="0" fontId="6" fillId="5" borderId="4" xfId="0" applyFont="1" applyFill="1" applyBorder="1" applyAlignment="1">
      <alignment horizontal="left" vertical="top" wrapText="1"/>
    </xf>
    <xf numFmtId="0" fontId="6" fillId="5" borderId="5" xfId="0" applyFont="1" applyFill="1" applyBorder="1" applyAlignment="1">
      <alignment horizontal="left" vertical="top" wrapText="1"/>
    </xf>
    <xf numFmtId="0" fontId="0" fillId="0" borderId="1" xfId="0" applyBorder="1" applyAlignment="1">
      <alignment horizontal="left" vertical="top" wrapText="1"/>
    </xf>
    <xf numFmtId="0" fontId="0" fillId="4" borderId="1" xfId="0" applyFill="1" applyBorder="1" applyAlignment="1">
      <alignment horizontal="left" vertical="top" wrapText="1"/>
    </xf>
    <xf numFmtId="0" fontId="5" fillId="0" borderId="8" xfId="0" applyFont="1" applyBorder="1" applyAlignment="1">
      <alignment vertical="center" wrapText="1"/>
    </xf>
    <xf numFmtId="0" fontId="7" fillId="5" borderId="1" xfId="0" applyFont="1" applyFill="1" applyBorder="1" applyAlignment="1">
      <alignment horizontal="left" vertical="center" wrapText="1"/>
    </xf>
    <xf numFmtId="0" fontId="6" fillId="5" borderId="1" xfId="0" applyFont="1" applyFill="1" applyBorder="1" applyAlignment="1">
      <alignment horizontal="right" vertical="center" wrapText="1"/>
    </xf>
    <xf numFmtId="0" fontId="0" fillId="5" borderId="1" xfId="0" applyFill="1" applyBorder="1" applyAlignment="1">
      <alignment vertical="top" wrapText="1"/>
    </xf>
    <xf numFmtId="0" fontId="0" fillId="4" borderId="1" xfId="0" applyFill="1" applyBorder="1" applyAlignment="1">
      <alignment vertical="top" wrapText="1"/>
    </xf>
    <xf numFmtId="0" fontId="0" fillId="5" borderId="5" xfId="0" applyFill="1" applyBorder="1" applyAlignment="1">
      <alignment vertical="top" wrapText="1"/>
    </xf>
    <xf numFmtId="0" fontId="0" fillId="6" borderId="1" xfId="0" applyFill="1" applyBorder="1" applyAlignment="1">
      <alignment vertical="top" wrapText="1"/>
    </xf>
    <xf numFmtId="0" fontId="8" fillId="8" borderId="1" xfId="0" applyFont="1" applyFill="1" applyBorder="1" applyAlignment="1">
      <alignment vertical="top" wrapText="1"/>
    </xf>
    <xf numFmtId="0" fontId="0" fillId="8" borderId="1" xfId="0"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4721CE-9A89-4776-951F-01455A99EAB1}">
  <dimension ref="A1:J38"/>
  <sheetViews>
    <sheetView tabSelected="1" topLeftCell="C1" workbookViewId="0">
      <selection activeCell="A7" sqref="A1:XFD7"/>
    </sheetView>
  </sheetViews>
  <sheetFormatPr defaultRowHeight="14.5" x14ac:dyDescent="0.35"/>
  <cols>
    <col min="1" max="1" width="31.26953125" customWidth="1"/>
    <col min="2" max="2" width="11.54296875" bestFit="1" customWidth="1"/>
    <col min="3" max="3" width="47.81640625" bestFit="1" customWidth="1"/>
    <col min="4" max="4" width="129.81640625" bestFit="1" customWidth="1"/>
    <col min="5" max="6" width="23.81640625" hidden="1" customWidth="1"/>
    <col min="7" max="7" width="22.453125" bestFit="1" customWidth="1"/>
    <col min="8" max="8" width="17.54296875" hidden="1" customWidth="1"/>
    <col min="9" max="9" width="13" bestFit="1" customWidth="1"/>
    <col min="10" max="10" width="20.81640625" bestFit="1" customWidth="1"/>
  </cols>
  <sheetData>
    <row r="1" spans="1:10" ht="29" x14ac:dyDescent="0.35">
      <c r="A1" s="1" t="s">
        <v>0</v>
      </c>
      <c r="B1" s="1" t="s">
        <v>1</v>
      </c>
      <c r="C1" s="1" t="s">
        <v>2</v>
      </c>
      <c r="D1" s="1" t="s">
        <v>3</v>
      </c>
      <c r="E1" s="1" t="s">
        <v>4</v>
      </c>
      <c r="F1" s="1" t="s">
        <v>5</v>
      </c>
      <c r="G1" s="1" t="s">
        <v>6</v>
      </c>
      <c r="H1" s="1" t="s">
        <v>7</v>
      </c>
      <c r="I1" s="1" t="s">
        <v>8</v>
      </c>
      <c r="J1" s="1" t="s">
        <v>9</v>
      </c>
    </row>
    <row r="2" spans="1:10" x14ac:dyDescent="0.35">
      <c r="A2" s="2"/>
      <c r="B2" s="2"/>
      <c r="C2" s="2"/>
      <c r="D2" s="2"/>
      <c r="E2" s="2"/>
      <c r="F2" s="2"/>
      <c r="G2" s="2"/>
      <c r="H2" s="2"/>
      <c r="I2" s="2"/>
      <c r="J2" s="2"/>
    </row>
    <row r="3" spans="1:10" x14ac:dyDescent="0.35">
      <c r="A3" s="3" t="s">
        <v>10</v>
      </c>
      <c r="B3" s="4" t="s">
        <v>11</v>
      </c>
      <c r="C3" s="3" t="s">
        <v>12</v>
      </c>
      <c r="D3" s="3" t="s">
        <v>12</v>
      </c>
      <c r="E3" s="5" t="s">
        <v>13</v>
      </c>
      <c r="F3" s="6">
        <v>46217</v>
      </c>
      <c r="G3">
        <v>20</v>
      </c>
      <c r="H3">
        <v>0.5</v>
      </c>
      <c r="I3" s="4">
        <f t="shared" ref="I3" si="0">IF(OR(G3="",H3=""),"",G3-H3)</f>
        <v>19.5</v>
      </c>
      <c r="J3">
        <v>80</v>
      </c>
    </row>
    <row r="4" spans="1:10" x14ac:dyDescent="0.35">
      <c r="A4" s="3" t="s">
        <v>14</v>
      </c>
      <c r="B4" s="3" t="s">
        <v>15</v>
      </c>
      <c r="C4" s="3" t="s">
        <v>16</v>
      </c>
      <c r="D4" s="3" t="s">
        <v>17</v>
      </c>
      <c r="E4" s="5" t="s">
        <v>13</v>
      </c>
      <c r="F4" s="6">
        <v>46217</v>
      </c>
      <c r="H4">
        <v>0.5</v>
      </c>
    </row>
    <row r="5" spans="1:10" ht="29" x14ac:dyDescent="0.35">
      <c r="A5" s="7" t="s">
        <v>18</v>
      </c>
      <c r="B5" s="7" t="s">
        <v>19</v>
      </c>
      <c r="C5" s="7" t="s">
        <v>20</v>
      </c>
      <c r="D5" s="7" t="s">
        <v>21</v>
      </c>
      <c r="E5" s="5" t="s">
        <v>13</v>
      </c>
      <c r="F5" s="6">
        <v>46217</v>
      </c>
      <c r="H5">
        <v>0.5</v>
      </c>
    </row>
    <row r="6" spans="1:10" x14ac:dyDescent="0.35">
      <c r="A6" s="3" t="s">
        <v>22</v>
      </c>
      <c r="B6" s="3" t="s">
        <v>11</v>
      </c>
      <c r="C6" s="3" t="s">
        <v>23</v>
      </c>
      <c r="D6" s="3" t="s">
        <v>24</v>
      </c>
      <c r="E6" s="5" t="s">
        <v>13</v>
      </c>
      <c r="F6" s="6">
        <v>46217</v>
      </c>
      <c r="H6">
        <v>0.5</v>
      </c>
    </row>
    <row r="7" spans="1:10" ht="29" x14ac:dyDescent="0.35">
      <c r="A7" s="4" t="s">
        <v>25</v>
      </c>
      <c r="B7" s="4" t="s">
        <v>11</v>
      </c>
      <c r="C7" s="8" t="s">
        <v>26</v>
      </c>
      <c r="D7" s="8" t="s">
        <v>27</v>
      </c>
      <c r="E7" s="5" t="s">
        <v>13</v>
      </c>
      <c r="F7" s="6">
        <v>46217</v>
      </c>
      <c r="G7" s="4">
        <v>25</v>
      </c>
      <c r="H7" s="4">
        <v>0.5</v>
      </c>
      <c r="I7" s="4">
        <f t="shared" ref="I7:I8" si="1">IF(OR(G7="",H7=""),"",G7-H7)</f>
        <v>24.5</v>
      </c>
      <c r="J7" s="4">
        <v>30</v>
      </c>
    </row>
    <row r="8" spans="1:10" ht="17" thickBot="1" x14ac:dyDescent="0.45">
      <c r="A8" s="9" t="s">
        <v>28</v>
      </c>
      <c r="B8" s="10" t="s">
        <v>15</v>
      </c>
      <c r="C8" s="11" t="s">
        <v>29</v>
      </c>
      <c r="D8" s="11" t="s">
        <v>29</v>
      </c>
      <c r="E8" s="12" t="s">
        <v>13</v>
      </c>
      <c r="F8" s="13">
        <v>46137</v>
      </c>
      <c r="G8" s="9">
        <v>120</v>
      </c>
      <c r="H8" s="9">
        <v>0</v>
      </c>
      <c r="I8" s="10">
        <f t="shared" si="1"/>
        <v>120</v>
      </c>
      <c r="J8" s="10">
        <v>1</v>
      </c>
    </row>
    <row r="9" spans="1:10" ht="29.5" thickBot="1" x14ac:dyDescent="0.4">
      <c r="A9" s="14" t="s">
        <v>30</v>
      </c>
      <c r="B9" s="15" t="s">
        <v>19</v>
      </c>
      <c r="C9" s="16" t="s">
        <v>31</v>
      </c>
      <c r="D9" s="16" t="s">
        <v>31</v>
      </c>
      <c r="E9" s="5" t="s">
        <v>13</v>
      </c>
      <c r="F9" s="17">
        <v>46204</v>
      </c>
      <c r="G9" s="18"/>
      <c r="H9" s="18"/>
      <c r="I9" s="18"/>
      <c r="J9" s="18"/>
    </row>
    <row r="10" spans="1:10" ht="58.5" thickBot="1" x14ac:dyDescent="0.4">
      <c r="A10" s="19" t="s">
        <v>32</v>
      </c>
      <c r="B10" s="20" t="s">
        <v>33</v>
      </c>
      <c r="C10" s="19" t="s">
        <v>34</v>
      </c>
      <c r="D10" s="19" t="s">
        <v>35</v>
      </c>
      <c r="E10" s="21" t="s">
        <v>36</v>
      </c>
      <c r="F10" s="22"/>
      <c r="G10" s="23"/>
      <c r="H10" s="24"/>
      <c r="I10" s="23"/>
      <c r="J10" s="23"/>
    </row>
    <row r="11" spans="1:10" ht="58.5" thickBot="1" x14ac:dyDescent="0.4">
      <c r="A11" s="25" t="s">
        <v>37</v>
      </c>
      <c r="B11" s="4" t="s">
        <v>11</v>
      </c>
      <c r="C11" s="19" t="s">
        <v>38</v>
      </c>
      <c r="D11" s="19" t="s">
        <v>39</v>
      </c>
      <c r="E11" s="5" t="s">
        <v>13</v>
      </c>
      <c r="F11" s="22"/>
      <c r="G11" s="4">
        <v>15</v>
      </c>
      <c r="H11" s="4">
        <v>0.5</v>
      </c>
      <c r="I11" s="4">
        <f t="shared" ref="I11:I25" si="2">IF(OR(G11="",H11=""),"",G11-H11)</f>
        <v>14.5</v>
      </c>
      <c r="J11" s="4">
        <v>30</v>
      </c>
    </row>
    <row r="12" spans="1:10" ht="15" thickBot="1" x14ac:dyDescent="0.4">
      <c r="A12" s="7" t="s">
        <v>40</v>
      </c>
      <c r="B12" s="7" t="s">
        <v>11</v>
      </c>
      <c r="C12" s="7" t="s">
        <v>41</v>
      </c>
      <c r="D12" s="7" t="s">
        <v>42</v>
      </c>
      <c r="E12" s="5" t="s">
        <v>13</v>
      </c>
    </row>
    <row r="13" spans="1:10" ht="44" thickBot="1" x14ac:dyDescent="0.4">
      <c r="A13" s="25" t="s">
        <v>43</v>
      </c>
      <c r="B13" s="4" t="s">
        <v>15</v>
      </c>
      <c r="C13" s="19" t="s">
        <v>44</v>
      </c>
      <c r="D13" s="19" t="s">
        <v>45</v>
      </c>
      <c r="E13" s="26" t="s">
        <v>13</v>
      </c>
      <c r="F13" s="17">
        <v>46132</v>
      </c>
      <c r="G13" s="4">
        <v>350</v>
      </c>
      <c r="H13" s="4">
        <v>0.5</v>
      </c>
      <c r="I13" s="4">
        <f t="shared" si="2"/>
        <v>349.5</v>
      </c>
      <c r="J13" s="4">
        <v>1</v>
      </c>
    </row>
    <row r="14" spans="1:10" ht="44" thickBot="1" x14ac:dyDescent="0.4">
      <c r="A14" s="3" t="s">
        <v>46</v>
      </c>
      <c r="B14" s="4" t="s">
        <v>15</v>
      </c>
      <c r="C14" s="27" t="s">
        <v>47</v>
      </c>
      <c r="D14" s="27" t="s">
        <v>48</v>
      </c>
      <c r="E14" s="28" t="s">
        <v>13</v>
      </c>
      <c r="F14" s="17">
        <v>46113</v>
      </c>
      <c r="G14" s="4">
        <v>250</v>
      </c>
      <c r="H14" s="4">
        <v>0.5</v>
      </c>
      <c r="I14" s="4">
        <f t="shared" si="2"/>
        <v>249.5</v>
      </c>
      <c r="J14" s="4">
        <v>1</v>
      </c>
    </row>
    <row r="15" spans="1:10" ht="58.5" thickBot="1" x14ac:dyDescent="0.4">
      <c r="A15" s="25" t="s">
        <v>49</v>
      </c>
      <c r="B15" s="4" t="s">
        <v>50</v>
      </c>
      <c r="C15" s="27" t="s">
        <v>51</v>
      </c>
      <c r="D15" s="27" t="s">
        <v>52</v>
      </c>
      <c r="E15" s="28" t="s">
        <v>13</v>
      </c>
      <c r="F15" s="17">
        <v>46085</v>
      </c>
      <c r="G15" s="4">
        <v>300</v>
      </c>
      <c r="H15" s="4">
        <v>0.5</v>
      </c>
      <c r="I15" s="4">
        <f t="shared" si="2"/>
        <v>299.5</v>
      </c>
      <c r="J15" s="4">
        <v>1</v>
      </c>
    </row>
    <row r="16" spans="1:10" ht="44" thickBot="1" x14ac:dyDescent="0.4">
      <c r="A16" s="4" t="s">
        <v>53</v>
      </c>
      <c r="B16" s="4" t="s">
        <v>15</v>
      </c>
      <c r="C16" s="8" t="s">
        <v>54</v>
      </c>
      <c r="D16" s="8" t="s">
        <v>55</v>
      </c>
      <c r="E16" s="28" t="s">
        <v>13</v>
      </c>
      <c r="F16" s="17">
        <v>45844</v>
      </c>
      <c r="G16" s="4">
        <v>45</v>
      </c>
      <c r="H16" s="4">
        <v>0.5</v>
      </c>
      <c r="I16" s="4">
        <f t="shared" si="2"/>
        <v>44.5</v>
      </c>
      <c r="J16" s="4">
        <v>2</v>
      </c>
    </row>
    <row r="17" spans="1:10" ht="44" thickBot="1" x14ac:dyDescent="0.4">
      <c r="A17" s="4" t="s">
        <v>56</v>
      </c>
      <c r="B17" s="4" t="s">
        <v>15</v>
      </c>
      <c r="C17" s="8" t="s">
        <v>57</v>
      </c>
      <c r="D17" s="8" t="s">
        <v>58</v>
      </c>
      <c r="E17" s="28" t="s">
        <v>13</v>
      </c>
      <c r="F17" s="17">
        <v>45875</v>
      </c>
      <c r="G17" s="4">
        <v>160</v>
      </c>
      <c r="H17" s="4">
        <v>0.5</v>
      </c>
      <c r="I17" s="4">
        <f t="shared" si="2"/>
        <v>159.5</v>
      </c>
      <c r="J17" s="4">
        <v>2</v>
      </c>
    </row>
    <row r="18" spans="1:10" ht="44" thickBot="1" x14ac:dyDescent="0.4">
      <c r="A18" s="4" t="s">
        <v>59</v>
      </c>
      <c r="B18" s="4" t="s">
        <v>15</v>
      </c>
      <c r="C18" s="8" t="s">
        <v>60</v>
      </c>
      <c r="D18" s="8" t="s">
        <v>61</v>
      </c>
      <c r="E18" s="28" t="s">
        <v>13</v>
      </c>
      <c r="F18" s="17">
        <v>45883</v>
      </c>
      <c r="G18" s="4">
        <v>120</v>
      </c>
      <c r="H18" s="4">
        <v>0.5</v>
      </c>
      <c r="I18" s="4">
        <f t="shared" si="2"/>
        <v>119.5</v>
      </c>
      <c r="J18" s="4">
        <v>1</v>
      </c>
    </row>
    <row r="19" spans="1:10" ht="58.5" thickBot="1" x14ac:dyDescent="0.4">
      <c r="A19" s="4" t="s">
        <v>62</v>
      </c>
      <c r="B19" s="4" t="s">
        <v>15</v>
      </c>
      <c r="C19" s="8" t="s">
        <v>63</v>
      </c>
      <c r="D19" s="8" t="s">
        <v>64</v>
      </c>
      <c r="E19" s="28" t="s">
        <v>13</v>
      </c>
      <c r="F19" s="17">
        <v>45901</v>
      </c>
      <c r="G19" s="4">
        <v>60</v>
      </c>
      <c r="H19" s="4">
        <v>0.5</v>
      </c>
      <c r="I19" s="4">
        <f t="shared" si="2"/>
        <v>59.5</v>
      </c>
      <c r="J19" s="4">
        <v>1</v>
      </c>
    </row>
    <row r="20" spans="1:10" ht="58.5" thickBot="1" x14ac:dyDescent="0.4">
      <c r="A20" s="4" t="s">
        <v>65</v>
      </c>
      <c r="B20" s="4" t="s">
        <v>19</v>
      </c>
      <c r="C20" s="8" t="s">
        <v>66</v>
      </c>
      <c r="D20" s="8" t="s">
        <v>67</v>
      </c>
      <c r="E20" s="28" t="s">
        <v>13</v>
      </c>
      <c r="F20" s="17">
        <v>45898</v>
      </c>
      <c r="G20" s="4">
        <v>60</v>
      </c>
      <c r="H20" s="4">
        <v>0.5</v>
      </c>
      <c r="I20" s="4">
        <f t="shared" si="2"/>
        <v>59.5</v>
      </c>
      <c r="J20" s="4">
        <v>6</v>
      </c>
    </row>
    <row r="21" spans="1:10" ht="58.5" thickBot="1" x14ac:dyDescent="0.4">
      <c r="A21" s="4" t="s">
        <v>68</v>
      </c>
      <c r="B21" s="4" t="s">
        <v>19</v>
      </c>
      <c r="C21" s="8" t="s">
        <v>69</v>
      </c>
      <c r="D21" s="8" t="s">
        <v>70</v>
      </c>
      <c r="E21" s="28" t="s">
        <v>13</v>
      </c>
      <c r="F21" s="17">
        <v>45896</v>
      </c>
      <c r="G21" s="4">
        <v>60</v>
      </c>
      <c r="H21" s="4">
        <v>0.5</v>
      </c>
      <c r="I21" s="4">
        <f t="shared" si="2"/>
        <v>59.5</v>
      </c>
      <c r="J21" s="4">
        <v>5</v>
      </c>
    </row>
    <row r="22" spans="1:10" ht="44" thickBot="1" x14ac:dyDescent="0.4">
      <c r="A22" s="4" t="s">
        <v>71</v>
      </c>
      <c r="B22" s="4" t="s">
        <v>19</v>
      </c>
      <c r="C22" s="8" t="s">
        <v>72</v>
      </c>
      <c r="D22" s="8" t="s">
        <v>73</v>
      </c>
      <c r="E22" s="28" t="s">
        <v>13</v>
      </c>
      <c r="F22" s="17">
        <v>45943</v>
      </c>
      <c r="G22" s="4">
        <v>60</v>
      </c>
      <c r="H22" s="4">
        <v>0.5</v>
      </c>
      <c r="I22" s="4">
        <f t="shared" si="2"/>
        <v>59.5</v>
      </c>
      <c r="J22" s="4">
        <v>4</v>
      </c>
    </row>
    <row r="23" spans="1:10" ht="58.5" thickBot="1" x14ac:dyDescent="0.4">
      <c r="A23" s="4" t="s">
        <v>74</v>
      </c>
      <c r="B23" s="4" t="s">
        <v>33</v>
      </c>
      <c r="C23" s="8" t="s">
        <v>75</v>
      </c>
      <c r="D23" s="8" t="s">
        <v>76</v>
      </c>
      <c r="E23" s="28" t="s">
        <v>13</v>
      </c>
      <c r="F23" s="17">
        <v>45945</v>
      </c>
      <c r="G23" s="4">
        <v>90</v>
      </c>
      <c r="H23" s="4">
        <v>0.5</v>
      </c>
      <c r="I23" s="4">
        <f t="shared" si="2"/>
        <v>89.5</v>
      </c>
      <c r="J23" s="4">
        <v>1</v>
      </c>
    </row>
    <row r="24" spans="1:10" ht="44" thickBot="1" x14ac:dyDescent="0.4">
      <c r="A24" s="4" t="s">
        <v>77</v>
      </c>
      <c r="B24" s="4" t="s">
        <v>33</v>
      </c>
      <c r="C24" s="8" t="s">
        <v>78</v>
      </c>
      <c r="D24" s="8" t="s">
        <v>79</v>
      </c>
      <c r="E24" s="28" t="s">
        <v>13</v>
      </c>
      <c r="F24" s="17">
        <v>45945</v>
      </c>
      <c r="G24" s="4">
        <v>90</v>
      </c>
      <c r="H24" s="4">
        <v>0.5</v>
      </c>
      <c r="I24" s="4">
        <f t="shared" si="2"/>
        <v>89.5</v>
      </c>
      <c r="J24" s="4">
        <v>1</v>
      </c>
    </row>
    <row r="25" spans="1:10" ht="73" thickBot="1" x14ac:dyDescent="0.4">
      <c r="A25" s="25" t="s">
        <v>80</v>
      </c>
      <c r="B25" s="4" t="s">
        <v>11</v>
      </c>
      <c r="C25" s="8" t="s">
        <v>81</v>
      </c>
      <c r="D25" s="8" t="s">
        <v>82</v>
      </c>
      <c r="E25" s="28" t="s">
        <v>13</v>
      </c>
      <c r="F25" s="17">
        <v>46059</v>
      </c>
      <c r="G25" s="4">
        <v>25</v>
      </c>
      <c r="H25" s="4">
        <v>0.5</v>
      </c>
      <c r="I25" s="4">
        <f t="shared" si="2"/>
        <v>24.5</v>
      </c>
      <c r="J25" s="4">
        <v>85</v>
      </c>
    </row>
    <row r="26" spans="1:10" ht="17" thickBot="1" x14ac:dyDescent="0.4">
      <c r="A26" s="4"/>
      <c r="B26" s="4"/>
      <c r="C26" s="8"/>
      <c r="D26" s="8"/>
      <c r="E26" s="5"/>
      <c r="F26" s="22"/>
      <c r="G26" s="4"/>
      <c r="H26" s="4"/>
      <c r="I26" s="4"/>
      <c r="J26" s="4"/>
    </row>
    <row r="28" spans="1:10" x14ac:dyDescent="0.35">
      <c r="G28" s="29"/>
      <c r="H28" s="30"/>
    </row>
    <row r="29" spans="1:10" x14ac:dyDescent="0.35">
      <c r="G29" s="29"/>
      <c r="H29" s="30"/>
    </row>
    <row r="30" spans="1:10" x14ac:dyDescent="0.35">
      <c r="G30" s="29"/>
      <c r="H30" s="30"/>
    </row>
    <row r="31" spans="1:10" x14ac:dyDescent="0.35">
      <c r="G31" s="29"/>
      <c r="H31" s="30"/>
    </row>
    <row r="32" spans="1:10" x14ac:dyDescent="0.35">
      <c r="G32" s="29"/>
      <c r="H32" s="30"/>
    </row>
    <row r="33" spans="7:8" x14ac:dyDescent="0.35">
      <c r="G33" s="29"/>
      <c r="H33" s="30"/>
    </row>
    <row r="34" spans="7:8" x14ac:dyDescent="0.35">
      <c r="G34" s="29"/>
      <c r="H34" s="30"/>
    </row>
    <row r="35" spans="7:8" x14ac:dyDescent="0.35">
      <c r="G35" s="29"/>
      <c r="H35" s="30"/>
    </row>
    <row r="36" spans="7:8" x14ac:dyDescent="0.35">
      <c r="G36" s="29"/>
      <c r="H36" s="30"/>
    </row>
    <row r="37" spans="7:8" x14ac:dyDescent="0.35">
      <c r="G37" s="29"/>
      <c r="H37" s="30"/>
    </row>
    <row r="38" spans="7:8" x14ac:dyDescent="0.35">
      <c r="G38" s="29"/>
      <c r="H38" s="3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Zaynab Mama</dc:creator>
  <cp:lastModifiedBy>Zaynab Mama</cp:lastModifiedBy>
  <dcterms:created xsi:type="dcterms:W3CDTF">2026-07-21T18:05:59Z</dcterms:created>
  <dcterms:modified xsi:type="dcterms:W3CDTF">2026-07-21T18:06:19Z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2-bc88714345d2_Enabled">
    <vt:lpwstr>true</vt:lpwstr>
  </property>
  <property fmtid="{D5CDD505-2E9C-101B-9397-08002B2CF9AE}" pid="3" name="MSIP_Label_defa4170-0d19-0005-0002-bc88714345d2_SetDate">
    <vt:lpwstr>2026-07-21T18:06:18Z</vt:lpwstr>
  </property>
  <property fmtid="{D5CDD505-2E9C-101B-9397-08002B2CF9AE}" pid="4" name="MSIP_Label_defa4170-0d19-0005-0002-bc88714345d2_Method">
    <vt:lpwstr>Privileged</vt:lpwstr>
  </property>
  <property fmtid="{D5CDD505-2E9C-101B-9397-08002B2CF9AE}" pid="5" name="MSIP_Label_defa4170-0d19-0005-0002-bc88714345d2_Name">
    <vt:lpwstr>defa4170-0d19-0005-0002-bc88714345d2</vt:lpwstr>
  </property>
  <property fmtid="{D5CDD505-2E9C-101B-9397-08002B2CF9AE}" pid="6" name="MSIP_Label_defa4170-0d19-0005-0002-bc88714345d2_SiteId">
    <vt:lpwstr>f8732124-c5e2-4e51-9ce1-5530ffc7be54</vt:lpwstr>
  </property>
  <property fmtid="{D5CDD505-2E9C-101B-9397-08002B2CF9AE}" pid="7" name="MSIP_Label_defa4170-0d19-0005-0002-bc88714345d2_ActionId">
    <vt:lpwstr>f5c8647d-8b21-4f1f-bd65-2b3ffd24d150</vt:lpwstr>
  </property>
  <property fmtid="{D5CDD505-2E9C-101B-9397-08002B2CF9AE}" pid="8" name="MSIP_Label_defa4170-0d19-0005-0002-bc88714345d2_ContentBits">
    <vt:lpwstr>0</vt:lpwstr>
  </property>
  <property fmtid="{D5CDD505-2E9C-101B-9397-08002B2CF9AE}" pid="9" name="MSIP_Label_defa4170-0d19-0005-0002-bc88714345d2_Tag">
    <vt:lpwstr>10, 0, 1, 1</vt:lpwstr>
  </property>
</Properties>
</file>